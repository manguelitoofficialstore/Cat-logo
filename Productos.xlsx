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Productos\"/>
    </mc:Choice>
  </mc:AlternateContent>
  <xr:revisionPtr revIDLastSave="0" documentId="13_ncr:1_{16964C54-3F25-43D7-9DC7-7532881B5895}" xr6:coauthVersionLast="47" xr6:coauthVersionMax="47" xr10:uidLastSave="{00000000-0000-0000-0000-000000000000}"/>
  <bookViews>
    <workbookView xWindow="-110" yWindow="-110" windowWidth="19420" windowHeight="10300" xr2:uid="{26820DB9-924D-46B1-8890-C9E1FF544FE7}"/>
  </bookViews>
  <sheets>
    <sheet name="Inventari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2" i="1" l="1"/>
  <c r="L22" i="1" s="1"/>
  <c r="M22" i="1" s="1"/>
  <c r="J23" i="1"/>
  <c r="L23" i="1" s="1"/>
  <c r="M23" i="1" s="1"/>
  <c r="J24" i="1"/>
  <c r="L24" i="1" s="1"/>
  <c r="M24" i="1" s="1"/>
  <c r="J25" i="1"/>
  <c r="L25" i="1" s="1"/>
  <c r="M25" i="1" s="1"/>
  <c r="J21" i="1"/>
  <c r="L21" i="1" s="1"/>
  <c r="M21" i="1" s="1"/>
  <c r="L8" i="1"/>
  <c r="M8" i="1" s="1"/>
  <c r="L9" i="1"/>
  <c r="L10" i="1"/>
  <c r="L11" i="1"/>
  <c r="L12" i="1"/>
  <c r="L13" i="1"/>
  <c r="M13" i="1" s="1"/>
  <c r="L19" i="1"/>
  <c r="M19" i="1" s="1"/>
  <c r="M9" i="1"/>
  <c r="M10" i="1"/>
  <c r="M11" i="1"/>
  <c r="M12" i="1"/>
  <c r="J9" i="1"/>
  <c r="J8" i="1"/>
  <c r="J15" i="1"/>
  <c r="L15" i="1" s="1"/>
  <c r="M15" i="1" s="1"/>
  <c r="J16" i="1"/>
  <c r="L16" i="1" s="1"/>
  <c r="M16" i="1" s="1"/>
  <c r="J17" i="1"/>
  <c r="L17" i="1" s="1"/>
  <c r="M17" i="1" s="1"/>
  <c r="J18" i="1"/>
  <c r="L18" i="1" s="1"/>
  <c r="M18" i="1" s="1"/>
  <c r="J14" i="1"/>
  <c r="L14" i="1" s="1"/>
  <c r="M14" i="1" s="1"/>
  <c r="J20" i="1"/>
  <c r="L20" i="1" s="1"/>
  <c r="M20" i="1" s="1"/>
  <c r="J3" i="1"/>
  <c r="L3" i="1" s="1"/>
  <c r="M3" i="1" s="1"/>
  <c r="J2" i="1"/>
  <c r="L2" i="1" s="1"/>
  <c r="M2" i="1" s="1"/>
  <c r="J5" i="1"/>
  <c r="L5" i="1" s="1"/>
  <c r="M5" i="1" s="1"/>
  <c r="J6" i="1"/>
  <c r="L6" i="1" s="1"/>
  <c r="M6" i="1" s="1"/>
  <c r="J7" i="1"/>
  <c r="L7" i="1" s="1"/>
  <c r="M7" i="1" s="1"/>
  <c r="J4" i="1"/>
  <c r="L4" i="1" s="1"/>
  <c r="M4" i="1" s="1"/>
</calcChain>
</file>

<file path=xl/sharedStrings.xml><?xml version="1.0" encoding="utf-8"?>
<sst xmlns="http://schemas.openxmlformats.org/spreadsheetml/2006/main" count="204" uniqueCount="91">
  <si>
    <t>Sueter algodón cuello redondo</t>
  </si>
  <si>
    <t xml:space="preserve">Sueter deportivo </t>
  </si>
  <si>
    <t>Descripcion</t>
  </si>
  <si>
    <t>Color</t>
  </si>
  <si>
    <t>Talla</t>
  </si>
  <si>
    <t>Genero</t>
  </si>
  <si>
    <t>M</t>
  </si>
  <si>
    <t>S</t>
  </si>
  <si>
    <t>Miniatura</t>
  </si>
  <si>
    <t>Referencia</t>
  </si>
  <si>
    <t>Costo compra</t>
  </si>
  <si>
    <t>Precio de venta</t>
  </si>
  <si>
    <t>Negro</t>
  </si>
  <si>
    <t>Blanco</t>
  </si>
  <si>
    <t>Sueter deportivo</t>
  </si>
  <si>
    <t>Gris</t>
  </si>
  <si>
    <t>Azul Oscuro</t>
  </si>
  <si>
    <t>Hombre</t>
  </si>
  <si>
    <t>Blusa</t>
  </si>
  <si>
    <t>Tula</t>
  </si>
  <si>
    <t>Llavero</t>
  </si>
  <si>
    <t>Mujer</t>
  </si>
  <si>
    <t>R-S-001-N-M-H</t>
  </si>
  <si>
    <t>R-S-001-B-M-H</t>
  </si>
  <si>
    <t>R-S-002-N-M-H</t>
  </si>
  <si>
    <t>R-S-002-B-M-H</t>
  </si>
  <si>
    <t>R-S-002-G-M-H</t>
  </si>
  <si>
    <t>R-S-002-A-M-H</t>
  </si>
  <si>
    <t>Vinotinto</t>
  </si>
  <si>
    <t>Caquie</t>
  </si>
  <si>
    <t>Precio de factura</t>
  </si>
  <si>
    <t>R-S-001-N-M-F</t>
  </si>
  <si>
    <t>R-S-002-N-M-F</t>
  </si>
  <si>
    <t>R-S-002-N-S-F</t>
  </si>
  <si>
    <t>R-S-002-B-M-F</t>
  </si>
  <si>
    <t>R-S-002-B-S-F</t>
  </si>
  <si>
    <t>Existencia</t>
  </si>
  <si>
    <t>Negra</t>
  </si>
  <si>
    <t>blanca</t>
  </si>
  <si>
    <t>I-L-001-B</t>
  </si>
  <si>
    <t>I-T-001-B</t>
  </si>
  <si>
    <t>BanderaManguelito</t>
  </si>
  <si>
    <t>R-B-001-N-S-F</t>
  </si>
  <si>
    <t>R-B-001-G-S-F</t>
  </si>
  <si>
    <t>R-B-001-V-S-F</t>
  </si>
  <si>
    <t>R-B-001-C-S-F</t>
  </si>
  <si>
    <t>R-B-001-B-S-F</t>
  </si>
  <si>
    <t>Llavero_001</t>
  </si>
  <si>
    <t>Tula_001</t>
  </si>
  <si>
    <t>I-G-001-N</t>
  </si>
  <si>
    <t>Gorra</t>
  </si>
  <si>
    <t>I-G-001-B</t>
  </si>
  <si>
    <t>I-G-001-G</t>
  </si>
  <si>
    <t>I-G-001-C</t>
  </si>
  <si>
    <t>I-G-001-A</t>
  </si>
  <si>
    <t>Blanca</t>
  </si>
  <si>
    <t>42cmx34cm</t>
  </si>
  <si>
    <t>Costo reproceso</t>
  </si>
  <si>
    <t>Única</t>
  </si>
  <si>
    <t>5.35cmx3.15cm</t>
  </si>
  <si>
    <t>Gorra Running</t>
  </si>
  <si>
    <t>Categor+ia</t>
  </si>
  <si>
    <t>Subcategoría</t>
  </si>
  <si>
    <t>Ropa</t>
  </si>
  <si>
    <t>Item</t>
  </si>
  <si>
    <t>Accesorio</t>
  </si>
  <si>
    <t>Sueter</t>
  </si>
  <si>
    <t>I-B-001</t>
  </si>
  <si>
    <t>Bandera</t>
  </si>
  <si>
    <t>Bandera Manguelito</t>
  </si>
  <si>
    <t>90cmx45cm</t>
  </si>
  <si>
    <t>Bandera-001</t>
  </si>
  <si>
    <t>Blusa-001-N-F</t>
  </si>
  <si>
    <t>Blusa-001-B-F</t>
  </si>
  <si>
    <t>Blusa-001-G-F</t>
  </si>
  <si>
    <t>Blusa-001-V-F</t>
  </si>
  <si>
    <t>Blusa-001-C-F</t>
  </si>
  <si>
    <t>Gorra-001-N</t>
  </si>
  <si>
    <t>Gorra-001-B</t>
  </si>
  <si>
    <t>Gorra-001-G</t>
  </si>
  <si>
    <t>Gorra-001-C</t>
  </si>
  <si>
    <t>Gorra-001-A</t>
  </si>
  <si>
    <t>Sueter_001-N-F-1</t>
  </si>
  <si>
    <t>Sueter_002-A-H-1</t>
  </si>
  <si>
    <t>Sueter_001-N-H-1</t>
  </si>
  <si>
    <t>Sueter_001-B-H-1</t>
  </si>
  <si>
    <t>Sueter_002-N-H-1</t>
  </si>
  <si>
    <t>Sueter_002-B-H-1</t>
  </si>
  <si>
    <t>Sueter_002-G-H-1</t>
  </si>
  <si>
    <t>Sueter_002-N-F-1</t>
  </si>
  <si>
    <t>Sueter_002-B-F-1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</si>
</sst>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Ubuntu"/>
      <family val="2"/>
    </font>
    <font>
      <sz val="10"/>
      <color theme="1"/>
      <name val="Ubuntu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824F3-3554-466A-8F66-74580F191792}">
  <dimension ref="A1:M26"/>
  <sheetViews>
    <sheetView tabSelected="1" workbookViewId="0">
      <selection activeCell="H14" sqref="H14"/>
    </sheetView>
  </sheetViews>
  <sheetFormatPr baseColWidth="10" defaultRowHeight="13.5" x14ac:dyDescent="0.3"/>
  <cols>
    <col min="1" max="3" width="16.08984375" style="2" customWidth="1"/>
    <col min="4" max="4" width="27.26953125" style="2" customWidth="1"/>
    <col min="5" max="5" width="17.36328125" style="2" customWidth="1"/>
    <col min="6" max="6" width="13.7265625" style="2" customWidth="1"/>
    <col min="7" max="7" width="8" style="2" customWidth="1"/>
    <col min="8" max="8" width="16.54296875" style="2" customWidth="1"/>
    <col min="9" max="9" width="9.81640625" style="2" customWidth="1"/>
    <col min="10" max="10" width="12.6328125" style="2" customWidth="1"/>
    <col min="11" max="11" width="14.90625" style="2" customWidth="1"/>
    <col min="12" max="12" width="15.54296875" style="2" customWidth="1"/>
    <col min="13" max="13" width="14.26953125" style="2" customWidth="1"/>
    <col min="14" max="16384" width="10.90625" style="2"/>
  </cols>
  <sheetData>
    <row r="1" spans="1:13" ht="14" x14ac:dyDescent="0.35">
      <c r="A1" s="1" t="s">
        <v>9</v>
      </c>
      <c r="B1" s="1" t="s">
        <v>61</v>
      </c>
      <c r="C1" s="1" t="s">
        <v>62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</v>
      </c>
      <c r="I1" s="1" t="s">
        <v>36</v>
      </c>
      <c r="J1" s="1" t="s">
        <v>10</v>
      </c>
      <c r="K1" s="1" t="s">
        <v>57</v>
      </c>
      <c r="L1" s="1" t="s">
        <v>30</v>
      </c>
      <c r="M1" s="1" t="s">
        <v>11</v>
      </c>
    </row>
    <row r="2" spans="1:13" x14ac:dyDescent="0.3">
      <c r="A2" s="2" t="s">
        <v>22</v>
      </c>
      <c r="B2" s="2" t="s">
        <v>63</v>
      </c>
      <c r="C2" s="2" t="s">
        <v>66</v>
      </c>
      <c r="D2" s="2" t="s">
        <v>0</v>
      </c>
      <c r="E2" s="2" t="s">
        <v>12</v>
      </c>
      <c r="F2" s="2" t="s">
        <v>6</v>
      </c>
      <c r="G2" s="2" t="s">
        <v>17</v>
      </c>
      <c r="H2" s="2" t="s">
        <v>84</v>
      </c>
      <c r="I2" s="2">
        <v>10</v>
      </c>
      <c r="J2" s="2">
        <f>ROUNDUP((45000+92000)/(7+6),0)</f>
        <v>10539</v>
      </c>
      <c r="L2" s="2">
        <f>ROUNDUP((SUM(J2:K2)+5000)/1000,0)*1000</f>
        <v>16000</v>
      </c>
      <c r="M2" s="2">
        <f>L2+5000</f>
        <v>21000</v>
      </c>
    </row>
    <row r="3" spans="1:13" x14ac:dyDescent="0.3">
      <c r="A3" s="2" t="s">
        <v>23</v>
      </c>
      <c r="B3" s="2" t="s">
        <v>63</v>
      </c>
      <c r="C3" s="2" t="s">
        <v>66</v>
      </c>
      <c r="D3" s="2" t="s">
        <v>0</v>
      </c>
      <c r="E3" s="2" t="s">
        <v>13</v>
      </c>
      <c r="F3" s="2" t="s">
        <v>6</v>
      </c>
      <c r="G3" s="2" t="s">
        <v>17</v>
      </c>
      <c r="H3" s="2" t="s">
        <v>85</v>
      </c>
      <c r="I3" s="2">
        <v>3</v>
      </c>
      <c r="J3" s="2">
        <f>ROUNDUP((45000+92000)/(7+6),0)</f>
        <v>10539</v>
      </c>
      <c r="L3" s="2">
        <f t="shared" ref="L3:L25" si="0">ROUNDUP((SUM(J3:K3)+5000)/1000,0)*1000</f>
        <v>16000</v>
      </c>
      <c r="M3" s="2">
        <f t="shared" ref="M3:M25" si="1">L3+5000</f>
        <v>21000</v>
      </c>
    </row>
    <row r="4" spans="1:13" x14ac:dyDescent="0.3">
      <c r="A4" s="2" t="s">
        <v>24</v>
      </c>
      <c r="B4" s="2" t="s">
        <v>63</v>
      </c>
      <c r="C4" s="2" t="s">
        <v>66</v>
      </c>
      <c r="D4" s="2" t="s">
        <v>14</v>
      </c>
      <c r="E4" s="2" t="s">
        <v>12</v>
      </c>
      <c r="F4" s="2" t="s">
        <v>6</v>
      </c>
      <c r="G4" s="2" t="s">
        <v>17</v>
      </c>
      <c r="H4" s="2" t="s">
        <v>86</v>
      </c>
      <c r="I4" s="2">
        <v>1</v>
      </c>
      <c r="J4" s="2">
        <f>41000/4</f>
        <v>10250</v>
      </c>
      <c r="L4" s="2">
        <f t="shared" si="0"/>
        <v>16000</v>
      </c>
      <c r="M4" s="2">
        <f t="shared" si="1"/>
        <v>21000</v>
      </c>
    </row>
    <row r="5" spans="1:13" x14ac:dyDescent="0.3">
      <c r="A5" s="2" t="s">
        <v>25</v>
      </c>
      <c r="B5" s="2" t="s">
        <v>63</v>
      </c>
      <c r="C5" s="2" t="s">
        <v>66</v>
      </c>
      <c r="D5" s="2" t="s">
        <v>14</v>
      </c>
      <c r="E5" s="2" t="s">
        <v>13</v>
      </c>
      <c r="F5" s="2" t="s">
        <v>6</v>
      </c>
      <c r="G5" s="2" t="s">
        <v>17</v>
      </c>
      <c r="H5" s="2" t="s">
        <v>87</v>
      </c>
      <c r="I5" s="2">
        <v>1</v>
      </c>
      <c r="J5" s="2">
        <f t="shared" ref="J5:J7" si="2">41000/4</f>
        <v>10250</v>
      </c>
      <c r="L5" s="2">
        <f t="shared" si="0"/>
        <v>16000</v>
      </c>
      <c r="M5" s="2">
        <f t="shared" si="1"/>
        <v>21000</v>
      </c>
    </row>
    <row r="6" spans="1:13" x14ac:dyDescent="0.3">
      <c r="A6" s="2" t="s">
        <v>26</v>
      </c>
      <c r="B6" s="2" t="s">
        <v>63</v>
      </c>
      <c r="C6" s="2" t="s">
        <v>66</v>
      </c>
      <c r="D6" s="2" t="s">
        <v>14</v>
      </c>
      <c r="E6" s="2" t="s">
        <v>15</v>
      </c>
      <c r="F6" s="2" t="s">
        <v>6</v>
      </c>
      <c r="G6" s="2" t="s">
        <v>17</v>
      </c>
      <c r="H6" s="2" t="s">
        <v>88</v>
      </c>
      <c r="I6" s="2">
        <v>1</v>
      </c>
      <c r="J6" s="2">
        <f t="shared" si="2"/>
        <v>10250</v>
      </c>
      <c r="L6" s="2">
        <f t="shared" si="0"/>
        <v>16000</v>
      </c>
      <c r="M6" s="2">
        <f t="shared" si="1"/>
        <v>21000</v>
      </c>
    </row>
    <row r="7" spans="1:13" x14ac:dyDescent="0.3">
      <c r="A7" s="2" t="s">
        <v>27</v>
      </c>
      <c r="B7" s="2" t="s">
        <v>63</v>
      </c>
      <c r="C7" s="2" t="s">
        <v>66</v>
      </c>
      <c r="D7" s="2" t="s">
        <v>14</v>
      </c>
      <c r="E7" s="2" t="s">
        <v>16</v>
      </c>
      <c r="F7" s="2" t="s">
        <v>6</v>
      </c>
      <c r="G7" s="2" t="s">
        <v>17</v>
      </c>
      <c r="H7" s="2" t="s">
        <v>83</v>
      </c>
      <c r="I7" s="2">
        <v>1</v>
      </c>
      <c r="J7" s="2">
        <f t="shared" si="2"/>
        <v>10250</v>
      </c>
      <c r="L7" s="2">
        <f t="shared" si="0"/>
        <v>16000</v>
      </c>
      <c r="M7" s="2">
        <f t="shared" si="1"/>
        <v>21000</v>
      </c>
    </row>
    <row r="8" spans="1:13" x14ac:dyDescent="0.3">
      <c r="A8" s="2" t="s">
        <v>31</v>
      </c>
      <c r="B8" s="2" t="s">
        <v>63</v>
      </c>
      <c r="C8" s="2" t="s">
        <v>66</v>
      </c>
      <c r="D8" s="2" t="s">
        <v>0</v>
      </c>
      <c r="E8" s="2" t="s">
        <v>12</v>
      </c>
      <c r="F8" s="2" t="s">
        <v>6</v>
      </c>
      <c r="G8" s="2" t="s">
        <v>21</v>
      </c>
      <c r="H8" s="2" t="s">
        <v>82</v>
      </c>
      <c r="I8" s="2">
        <v>0</v>
      </c>
      <c r="J8" s="2">
        <f>52000/5</f>
        <v>10400</v>
      </c>
      <c r="L8" s="2">
        <f t="shared" si="0"/>
        <v>16000</v>
      </c>
      <c r="M8" s="2">
        <f t="shared" si="1"/>
        <v>21000</v>
      </c>
    </row>
    <row r="9" spans="1:13" x14ac:dyDescent="0.3">
      <c r="A9" s="2" t="s">
        <v>31</v>
      </c>
      <c r="B9" s="2" t="s">
        <v>63</v>
      </c>
      <c r="C9" s="2" t="s">
        <v>66</v>
      </c>
      <c r="D9" s="2" t="s">
        <v>0</v>
      </c>
      <c r="E9" s="2" t="s">
        <v>12</v>
      </c>
      <c r="F9" s="2" t="s">
        <v>7</v>
      </c>
      <c r="G9" s="2" t="s">
        <v>21</v>
      </c>
      <c r="H9" s="2" t="s">
        <v>82</v>
      </c>
      <c r="I9" s="2">
        <v>5</v>
      </c>
      <c r="J9" s="2">
        <f>52000/5</f>
        <v>10400</v>
      </c>
      <c r="L9" s="2">
        <f t="shared" si="0"/>
        <v>16000</v>
      </c>
      <c r="M9" s="2">
        <f t="shared" si="1"/>
        <v>21000</v>
      </c>
    </row>
    <row r="10" spans="1:13" x14ac:dyDescent="0.3">
      <c r="A10" s="2" t="s">
        <v>33</v>
      </c>
      <c r="B10" s="2" t="s">
        <v>63</v>
      </c>
      <c r="C10" s="2" t="s">
        <v>66</v>
      </c>
      <c r="D10" s="2" t="s">
        <v>1</v>
      </c>
      <c r="E10" s="2" t="s">
        <v>12</v>
      </c>
      <c r="F10" s="2" t="s">
        <v>7</v>
      </c>
      <c r="G10" s="2" t="s">
        <v>21</v>
      </c>
      <c r="H10" s="2" t="s">
        <v>89</v>
      </c>
      <c r="I10" s="2">
        <v>3</v>
      </c>
      <c r="J10" s="2">
        <v>22000</v>
      </c>
      <c r="L10" s="2">
        <f t="shared" si="0"/>
        <v>27000</v>
      </c>
      <c r="M10" s="2">
        <f t="shared" si="1"/>
        <v>32000</v>
      </c>
    </row>
    <row r="11" spans="1:13" x14ac:dyDescent="0.3">
      <c r="A11" s="2" t="s">
        <v>32</v>
      </c>
      <c r="B11" s="2" t="s">
        <v>63</v>
      </c>
      <c r="C11" s="2" t="s">
        <v>66</v>
      </c>
      <c r="D11" s="2" t="s">
        <v>1</v>
      </c>
      <c r="E11" s="2" t="s">
        <v>12</v>
      </c>
      <c r="F11" s="2" t="s">
        <v>6</v>
      </c>
      <c r="G11" s="2" t="s">
        <v>21</v>
      </c>
      <c r="H11" s="2" t="s">
        <v>89</v>
      </c>
      <c r="I11" s="2">
        <v>3</v>
      </c>
      <c r="J11" s="2">
        <v>22000</v>
      </c>
      <c r="L11" s="2">
        <f t="shared" si="0"/>
        <v>27000</v>
      </c>
      <c r="M11" s="2">
        <f t="shared" si="1"/>
        <v>32000</v>
      </c>
    </row>
    <row r="12" spans="1:13" x14ac:dyDescent="0.3">
      <c r="A12" s="2" t="s">
        <v>35</v>
      </c>
      <c r="B12" s="2" t="s">
        <v>63</v>
      </c>
      <c r="C12" s="2" t="s">
        <v>66</v>
      </c>
      <c r="D12" s="2" t="s">
        <v>1</v>
      </c>
      <c r="E12" s="2" t="s">
        <v>13</v>
      </c>
      <c r="F12" s="2" t="s">
        <v>7</v>
      </c>
      <c r="G12" s="2" t="s">
        <v>21</v>
      </c>
      <c r="H12" s="2" t="s">
        <v>90</v>
      </c>
      <c r="I12" s="2">
        <v>2</v>
      </c>
      <c r="J12" s="2">
        <v>20000</v>
      </c>
      <c r="L12" s="2">
        <f t="shared" si="0"/>
        <v>25000</v>
      </c>
      <c r="M12" s="2">
        <f t="shared" si="1"/>
        <v>30000</v>
      </c>
    </row>
    <row r="13" spans="1:13" x14ac:dyDescent="0.3">
      <c r="A13" s="2" t="s">
        <v>34</v>
      </c>
      <c r="B13" s="2" t="s">
        <v>63</v>
      </c>
      <c r="C13" s="2" t="s">
        <v>66</v>
      </c>
      <c r="D13" s="2" t="s">
        <v>1</v>
      </c>
      <c r="E13" s="2" t="s">
        <v>13</v>
      </c>
      <c r="F13" s="2" t="s">
        <v>6</v>
      </c>
      <c r="G13" s="2" t="s">
        <v>21</v>
      </c>
      <c r="H13" s="2" t="s">
        <v>90</v>
      </c>
      <c r="I13" s="2">
        <v>2</v>
      </c>
      <c r="J13" s="2">
        <v>20000</v>
      </c>
      <c r="L13" s="2">
        <f t="shared" si="0"/>
        <v>25000</v>
      </c>
      <c r="M13" s="2">
        <f t="shared" si="1"/>
        <v>30000</v>
      </c>
    </row>
    <row r="14" spans="1:13" x14ac:dyDescent="0.3">
      <c r="A14" s="2" t="s">
        <v>42</v>
      </c>
      <c r="B14" s="2" t="s">
        <v>63</v>
      </c>
      <c r="C14" s="2" t="s">
        <v>18</v>
      </c>
      <c r="D14" s="2" t="s">
        <v>18</v>
      </c>
      <c r="E14" s="2" t="s">
        <v>37</v>
      </c>
      <c r="F14" s="2" t="s">
        <v>7</v>
      </c>
      <c r="G14" s="2" t="s">
        <v>21</v>
      </c>
      <c r="H14" s="2" t="s">
        <v>72</v>
      </c>
      <c r="I14" s="2">
        <v>1</v>
      </c>
      <c r="J14" s="2">
        <f>69000/6</f>
        <v>11500</v>
      </c>
      <c r="L14" s="2">
        <f t="shared" si="0"/>
        <v>17000</v>
      </c>
      <c r="M14" s="2">
        <f t="shared" si="1"/>
        <v>22000</v>
      </c>
    </row>
    <row r="15" spans="1:13" x14ac:dyDescent="0.3">
      <c r="A15" s="2" t="s">
        <v>46</v>
      </c>
      <c r="B15" s="2" t="s">
        <v>63</v>
      </c>
      <c r="C15" s="2" t="s">
        <v>18</v>
      </c>
      <c r="D15" s="2" t="s">
        <v>18</v>
      </c>
      <c r="E15" s="2" t="s">
        <v>38</v>
      </c>
      <c r="F15" s="2" t="s">
        <v>7</v>
      </c>
      <c r="G15" s="2" t="s">
        <v>21</v>
      </c>
      <c r="H15" s="2" t="s">
        <v>73</v>
      </c>
      <c r="I15" s="2">
        <v>1</v>
      </c>
      <c r="J15" s="2">
        <f t="shared" ref="J15:J18" si="3">69000/6</f>
        <v>11500</v>
      </c>
      <c r="L15" s="2">
        <f t="shared" si="0"/>
        <v>17000</v>
      </c>
      <c r="M15" s="2">
        <f t="shared" si="1"/>
        <v>22000</v>
      </c>
    </row>
    <row r="16" spans="1:13" x14ac:dyDescent="0.3">
      <c r="A16" s="2" t="s">
        <v>43</v>
      </c>
      <c r="B16" s="2" t="s">
        <v>63</v>
      </c>
      <c r="C16" s="2" t="s">
        <v>18</v>
      </c>
      <c r="D16" s="2" t="s">
        <v>18</v>
      </c>
      <c r="E16" s="2" t="s">
        <v>15</v>
      </c>
      <c r="F16" s="2" t="s">
        <v>7</v>
      </c>
      <c r="G16" s="2" t="s">
        <v>21</v>
      </c>
      <c r="H16" s="2" t="s">
        <v>74</v>
      </c>
      <c r="I16" s="2">
        <v>1</v>
      </c>
      <c r="J16" s="2">
        <f t="shared" si="3"/>
        <v>11500</v>
      </c>
      <c r="L16" s="2">
        <f t="shared" si="0"/>
        <v>17000</v>
      </c>
      <c r="M16" s="2">
        <f t="shared" si="1"/>
        <v>22000</v>
      </c>
    </row>
    <row r="17" spans="1:13" x14ac:dyDescent="0.3">
      <c r="A17" s="2" t="s">
        <v>44</v>
      </c>
      <c r="B17" s="2" t="s">
        <v>63</v>
      </c>
      <c r="C17" s="2" t="s">
        <v>18</v>
      </c>
      <c r="D17" s="2" t="s">
        <v>18</v>
      </c>
      <c r="E17" s="2" t="s">
        <v>28</v>
      </c>
      <c r="F17" s="2" t="s">
        <v>7</v>
      </c>
      <c r="G17" s="2" t="s">
        <v>21</v>
      </c>
      <c r="H17" s="2" t="s">
        <v>75</v>
      </c>
      <c r="I17" s="2">
        <v>1</v>
      </c>
      <c r="J17" s="2">
        <f t="shared" si="3"/>
        <v>11500</v>
      </c>
      <c r="L17" s="2">
        <f t="shared" si="0"/>
        <v>17000</v>
      </c>
      <c r="M17" s="2">
        <f t="shared" si="1"/>
        <v>22000</v>
      </c>
    </row>
    <row r="18" spans="1:13" x14ac:dyDescent="0.3">
      <c r="A18" s="2" t="s">
        <v>45</v>
      </c>
      <c r="B18" s="2" t="s">
        <v>63</v>
      </c>
      <c r="C18" s="2" t="s">
        <v>18</v>
      </c>
      <c r="D18" s="2" t="s">
        <v>18</v>
      </c>
      <c r="E18" s="2" t="s">
        <v>29</v>
      </c>
      <c r="F18" s="2" t="s">
        <v>7</v>
      </c>
      <c r="G18" s="2" t="s">
        <v>21</v>
      </c>
      <c r="H18" s="2" t="s">
        <v>76</v>
      </c>
      <c r="I18" s="2">
        <v>1</v>
      </c>
      <c r="J18" s="2">
        <f t="shared" si="3"/>
        <v>11500</v>
      </c>
      <c r="L18" s="2">
        <f t="shared" si="0"/>
        <v>17000</v>
      </c>
      <c r="M18" s="2">
        <f t="shared" si="1"/>
        <v>22000</v>
      </c>
    </row>
    <row r="19" spans="1:13" x14ac:dyDescent="0.3">
      <c r="A19" s="2" t="s">
        <v>39</v>
      </c>
      <c r="B19" s="2" t="s">
        <v>64</v>
      </c>
      <c r="C19" s="2" t="s">
        <v>20</v>
      </c>
      <c r="D19" s="2" t="s">
        <v>20</v>
      </c>
      <c r="E19" s="2" t="s">
        <v>41</v>
      </c>
      <c r="F19" s="2" t="s">
        <v>59</v>
      </c>
      <c r="H19" s="2" t="s">
        <v>47</v>
      </c>
      <c r="I19" s="2">
        <v>2</v>
      </c>
      <c r="J19" s="2">
        <v>4900</v>
      </c>
      <c r="L19" s="2">
        <f t="shared" si="0"/>
        <v>10000</v>
      </c>
      <c r="M19" s="2">
        <f t="shared" si="1"/>
        <v>15000</v>
      </c>
    </row>
    <row r="20" spans="1:13" x14ac:dyDescent="0.3">
      <c r="A20" s="2" t="s">
        <v>40</v>
      </c>
      <c r="B20" s="2" t="s">
        <v>64</v>
      </c>
      <c r="C20" s="2" t="s">
        <v>19</v>
      </c>
      <c r="D20" s="2" t="s">
        <v>19</v>
      </c>
      <c r="E20" s="2" t="s">
        <v>37</v>
      </c>
      <c r="F20" s="2" t="s">
        <v>56</v>
      </c>
      <c r="H20" s="2" t="s">
        <v>48</v>
      </c>
      <c r="I20" s="2">
        <v>10</v>
      </c>
      <c r="J20" s="2">
        <f>47000/10</f>
        <v>4700</v>
      </c>
      <c r="L20" s="2">
        <f t="shared" si="0"/>
        <v>10000</v>
      </c>
      <c r="M20" s="2">
        <f t="shared" si="1"/>
        <v>15000</v>
      </c>
    </row>
    <row r="21" spans="1:13" x14ac:dyDescent="0.3">
      <c r="A21" s="2" t="s">
        <v>49</v>
      </c>
      <c r="B21" s="2" t="s">
        <v>65</v>
      </c>
      <c r="C21" s="2" t="s">
        <v>50</v>
      </c>
      <c r="D21" s="2" t="s">
        <v>60</v>
      </c>
      <c r="E21" s="2" t="s">
        <v>37</v>
      </c>
      <c r="F21" s="2" t="s">
        <v>58</v>
      </c>
      <c r="H21" s="2" t="s">
        <v>77</v>
      </c>
      <c r="I21" s="2">
        <v>1</v>
      </c>
      <c r="J21" s="2">
        <f>38000/5</f>
        <v>7600</v>
      </c>
      <c r="L21" s="2">
        <f t="shared" si="0"/>
        <v>13000</v>
      </c>
      <c r="M21" s="2">
        <f t="shared" si="1"/>
        <v>18000</v>
      </c>
    </row>
    <row r="22" spans="1:13" x14ac:dyDescent="0.3">
      <c r="A22" s="2" t="s">
        <v>51</v>
      </c>
      <c r="B22" s="2" t="s">
        <v>65</v>
      </c>
      <c r="C22" s="2" t="s">
        <v>50</v>
      </c>
      <c r="D22" s="2" t="s">
        <v>60</v>
      </c>
      <c r="E22" s="2" t="s">
        <v>55</v>
      </c>
      <c r="F22" s="2" t="s">
        <v>58</v>
      </c>
      <c r="H22" s="2" t="s">
        <v>78</v>
      </c>
      <c r="I22" s="2">
        <v>1</v>
      </c>
      <c r="J22" s="2">
        <f t="shared" ref="J22:J25" si="4">38000/5</f>
        <v>7600</v>
      </c>
      <c r="L22" s="2">
        <f t="shared" si="0"/>
        <v>13000</v>
      </c>
      <c r="M22" s="2">
        <f t="shared" si="1"/>
        <v>18000</v>
      </c>
    </row>
    <row r="23" spans="1:13" x14ac:dyDescent="0.3">
      <c r="A23" s="2" t="s">
        <v>52</v>
      </c>
      <c r="B23" s="2" t="s">
        <v>65</v>
      </c>
      <c r="C23" s="2" t="s">
        <v>50</v>
      </c>
      <c r="D23" s="2" t="s">
        <v>60</v>
      </c>
      <c r="E23" s="2" t="s">
        <v>15</v>
      </c>
      <c r="F23" s="2" t="s">
        <v>58</v>
      </c>
      <c r="H23" s="2" t="s">
        <v>79</v>
      </c>
      <c r="I23" s="2">
        <v>1</v>
      </c>
      <c r="J23" s="2">
        <f t="shared" si="4"/>
        <v>7600</v>
      </c>
      <c r="L23" s="2">
        <f t="shared" si="0"/>
        <v>13000</v>
      </c>
      <c r="M23" s="2">
        <f t="shared" si="1"/>
        <v>18000</v>
      </c>
    </row>
    <row r="24" spans="1:13" x14ac:dyDescent="0.3">
      <c r="A24" s="2" t="s">
        <v>53</v>
      </c>
      <c r="B24" s="2" t="s">
        <v>65</v>
      </c>
      <c r="C24" s="2" t="s">
        <v>50</v>
      </c>
      <c r="D24" s="2" t="s">
        <v>60</v>
      </c>
      <c r="E24" s="2" t="s">
        <v>29</v>
      </c>
      <c r="F24" s="2" t="s">
        <v>58</v>
      </c>
      <c r="H24" s="2" t="s">
        <v>80</v>
      </c>
      <c r="I24" s="2">
        <v>1</v>
      </c>
      <c r="J24" s="2">
        <f t="shared" si="4"/>
        <v>7600</v>
      </c>
      <c r="L24" s="2">
        <f t="shared" si="0"/>
        <v>13000</v>
      </c>
      <c r="M24" s="2">
        <f t="shared" si="1"/>
        <v>18000</v>
      </c>
    </row>
    <row r="25" spans="1:13" x14ac:dyDescent="0.3">
      <c r="A25" s="2" t="s">
        <v>54</v>
      </c>
      <c r="B25" s="2" t="s">
        <v>65</v>
      </c>
      <c r="C25" s="2" t="s">
        <v>50</v>
      </c>
      <c r="D25" s="2" t="s">
        <v>60</v>
      </c>
      <c r="E25" s="2" t="s">
        <v>16</v>
      </c>
      <c r="F25" s="2" t="s">
        <v>58</v>
      </c>
      <c r="H25" s="2" t="s">
        <v>81</v>
      </c>
      <c r="I25" s="2">
        <v>1</v>
      </c>
      <c r="J25" s="2">
        <f t="shared" si="4"/>
        <v>7600</v>
      </c>
      <c r="L25" s="2">
        <f t="shared" si="0"/>
        <v>13000</v>
      </c>
      <c r="M25" s="2">
        <f t="shared" si="1"/>
        <v>18000</v>
      </c>
    </row>
    <row r="26" spans="1:13" x14ac:dyDescent="0.3">
      <c r="A26" s="2" t="s">
        <v>67</v>
      </c>
      <c r="B26" s="2" t="s">
        <v>64</v>
      </c>
      <c r="C26" s="2" t="s">
        <v>68</v>
      </c>
      <c r="D26" s="2" t="s">
        <v>69</v>
      </c>
      <c r="F26" s="2" t="s">
        <v>70</v>
      </c>
      <c r="H26" s="2" t="s">
        <v>71</v>
      </c>
      <c r="I26" s="2">
        <v>3</v>
      </c>
      <c r="J26" s="2">
        <v>9000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Alberto Mendoza Villalba</dc:creator>
  <cp:lastModifiedBy>Mario Alberto Mendoza Villalba</cp:lastModifiedBy>
  <dcterms:created xsi:type="dcterms:W3CDTF">2026-07-08T15:21:57Z</dcterms:created>
  <dcterms:modified xsi:type="dcterms:W3CDTF">2026-07-10T22:25:27Z</dcterms:modified>
</cp:coreProperties>
</file>